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353449a8f9cae3a/Documentos/DUOC UC/2026/Capstone/Evaluación N°3/"/>
    </mc:Choice>
  </mc:AlternateContent>
  <xr:revisionPtr revIDLastSave="770" documentId="8_{2EFDF332-31E9-4C74-A6B5-E695634C1C45}" xr6:coauthVersionLast="47" xr6:coauthVersionMax="47" xr10:uidLastSave="{4338E893-609B-4AC4-B671-A8983A62C0BA}"/>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E28" i="1"/>
  <c r="G28" i="1"/>
  <c r="I28" i="1"/>
  <c r="J28" i="1"/>
  <c r="K28" i="1" s="1"/>
  <c r="B18" i="1"/>
  <c r="B30" i="1"/>
  <c r="G54" i="1" l="1"/>
  <c r="K54" i="1"/>
  <c r="K43" i="1"/>
  <c r="I54" i="1"/>
  <c r="G43" i="1"/>
  <c r="I43" i="1"/>
  <c r="E54" i="1"/>
  <c r="E43" i="1"/>
  <c r="B29" i="1"/>
  <c r="B14" i="1"/>
  <c r="B15" i="1"/>
  <c r="B16" i="1"/>
  <c r="B17" i="1"/>
  <c r="B19" i="1"/>
  <c r="B13" i="1"/>
  <c r="C47" i="1"/>
  <c r="C36" i="1"/>
  <c r="J29" i="1"/>
  <c r="K29" i="1" s="1"/>
  <c r="I29" i="1"/>
  <c r="G29" i="1"/>
  <c r="E29" i="1"/>
  <c r="J30" i="1"/>
  <c r="K30" i="1" s="1"/>
  <c r="I30" i="1"/>
  <c r="F30" i="1"/>
  <c r="G30" i="1" s="1"/>
  <c r="E30" i="1"/>
  <c r="C43" i="1" l="1"/>
  <c r="C44" i="1" s="1"/>
  <c r="C54" i="1"/>
  <c r="C55" i="1" s="1"/>
  <c r="E31" i="1"/>
  <c r="G31" i="1"/>
  <c r="I31" i="1"/>
  <c r="K31" i="1"/>
  <c r="E13" i="1"/>
  <c r="E14" i="1"/>
  <c r="E15" i="1"/>
  <c r="E16" i="1"/>
  <c r="E17" i="1"/>
  <c r="E18" i="1"/>
  <c r="G19" i="1"/>
  <c r="E19" i="1" l="1"/>
  <c r="H19" i="1"/>
  <c r="I19" i="1" s="1"/>
  <c r="J19" i="1"/>
  <c r="K19" i="1" s="1"/>
  <c r="F16" i="1"/>
  <c r="G16" i="1" s="1"/>
  <c r="I16" i="1"/>
  <c r="J16" i="1"/>
  <c r="K16" i="1" s="1"/>
  <c r="C24" i="1"/>
  <c r="J18" i="1"/>
  <c r="K18" i="1" s="1"/>
  <c r="H18" i="1"/>
  <c r="I18" i="1" s="1"/>
  <c r="G18" i="1"/>
  <c r="J17" i="1"/>
  <c r="K17" i="1" s="1"/>
  <c r="H17" i="1"/>
  <c r="I17" i="1" s="1"/>
  <c r="G17" i="1"/>
  <c r="J15" i="1"/>
  <c r="K15" i="1" s="1"/>
  <c r="I15" i="1"/>
  <c r="F15" i="1"/>
  <c r="G15" i="1" s="1"/>
  <c r="J14" i="1"/>
  <c r="I14" i="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<sst xmlns="http://schemas.openxmlformats.org/spreadsheetml/2006/main" count="146" uniqueCount="78">
  <si>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</si>
  <si>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</si>
  <si>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</si>
  <si>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</si>
  <si>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</si>
  <si>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</si>
  <si>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</si>
  <si>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</si>
  <si>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</si>
  <si>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</si>
  <si>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</si>
  <si>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</si>
  <si>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</si>
  <si>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</si>
  <si>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</si>
  <si>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</si>
  <si>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</si>
  <si>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</si>
  <si>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</si>
  <si>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</si>
  <si>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</si>
  <si>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</si>
  <si>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</si>
  <si>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</si>
  <si>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</si>
  <si>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</si>
  <si>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</si>
  <si>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</si>
  <si>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</si>
  <si>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</si>
  <si>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</si>
  <si>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</si>
  <si>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</si>
  <si>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</si>
  <si>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</si>
  <si>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</si>
  <si>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</si>
  <si>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</si>
  <si>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</si>
  <si>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</si>
  <si>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</si>
  <si>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</si>
  <si>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</si>
  <si>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</si>
  <si>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</si>
  <si>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</si>
  <si>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</si>
  <si>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</si>
  <si>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</si>
  <si>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</si>
  <si>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</si>
  <si>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</si>
  <si>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</si>
  <si>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</si>
  <si>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</si>
  <si>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</si>
  <si>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</si>
  <si>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</si>
  <si>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</si>
  <si>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</si>
  <si>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</si>
  <si>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</si>
  <si>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</si>
  <si>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</si>
  <si>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</si>
  <si>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</si>
  <si>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</si>
  <si>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</si>
  <si>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</si>
  <si>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</si>
  <si>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</si>
  <si>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</si>
  <si>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</si>
  <si>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</si>
  <si>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</si>
  <si>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</si>
  <si>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Benjamin Ricardo Diaz Gar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</si>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</sst>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H1" sqref="H1"/>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3.4</v>
      </c>
      <c r="D4" s="5">
        <f>$C$32</f>
        <v>4.8</v>
      </c>
      <c r="E4" s="6">
        <f>C4*C$2+D4*D$2</f>
        <v>3.75</v>
      </c>
      <c r="G4" s="1"/>
    </row>
    <row r="5" spans="1:11" x14ac:dyDescent="0.25">
      <c r="A5" s="4">
        <v>2</v>
      </c>
      <c r="B5" s="27"/>
      <c r="C5" s="5">
        <f>EVALUACION1!$C$21</f>
        <v>3.4</v>
      </c>
      <c r="D5" s="5">
        <f>C44</f>
        <v>7</v>
      </c>
      <c r="E5" s="6">
        <f t="shared" ref="E5:E6" si="0">C5*C$2+D5*D$2</f>
        <v>4.3</v>
      </c>
      <c r="G5" s="1"/>
    </row>
    <row r="6" spans="1:11" x14ac:dyDescent="0.25">
      <c r="A6" s="4">
        <v>3</v>
      </c>
      <c r="B6" s="27"/>
      <c r="C6" s="5">
        <f>EVALUACION1!$C$21</f>
        <v>3.4</v>
      </c>
      <c r="D6" s="5">
        <f>C55</f>
        <v>7</v>
      </c>
      <c r="E6" s="6">
        <f t="shared" si="0"/>
        <v>4.3</v>
      </c>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77</v>
      </c>
      <c r="G13" s="16">
        <f>IF(F13="X",60*0.1,"")</f>
        <v>6</v>
      </c>
      <c r="H13" s="16" t="str">
        <f t="shared" ref="H13:H14"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c r="G14" s="16" t="str">
        <f>IF(F14="X",60*0.2,"")</f>
        <v/>
      </c>
      <c r="H14" s="16" t="s">
        <v>77</v>
      </c>
      <c r="I14" s="16">
        <f>IF(H14="X",30*0.2,"")</f>
        <v>6</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tr">
        <f t="shared" ref="F13:F16" si="4">IF($C15=L,"X","")</f>
        <v/>
      </c>
      <c r="G15" s="16" t="str">
        <f>IF(F15="X",60*0.05,"")</f>
        <v/>
      </c>
      <c r="H15" s="16" t="s">
        <v>77</v>
      </c>
      <c r="I15" s="16">
        <f>IF(H15="X",30*0.05,"")</f>
        <v>1.5</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tr">
        <f t="shared" si="4"/>
        <v/>
      </c>
      <c r="G16" s="16" t="str">
        <f>IF(F16="X",60*0.05,"")</f>
        <v/>
      </c>
      <c r="H16" s="16" t="s">
        <v>77</v>
      </c>
      <c r="I16" s="16">
        <f>IF(H16="X",30*0.05,"")</f>
        <v>1.5</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c r="E17" s="16" t="str">
        <f>IF(D17="X",100*0.05,"")</f>
        <v/>
      </c>
      <c r="F17" s="16" t="s">
        <v>77</v>
      </c>
      <c r="G17" s="16">
        <f>IF(F17="X",60*0.05,"")</f>
        <v>3</v>
      </c>
      <c r="H17" s="16" t="str">
        <f>IF($C17=ML,"X","")</f>
        <v/>
      </c>
      <c r="I17" s="16" t="str">
        <f>IF(H17="X",30*0.05,"")</f>
        <v/>
      </c>
      <c r="J17" s="16" t="str">
        <f>IF($C17=NL,"X","")</f>
        <v/>
      </c>
      <c r="K17" s="16" t="str">
        <f t="shared" ref="K17:K19" si="5">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77</v>
      </c>
      <c r="G18" s="16">
        <f>IF(F18="X",60*0.15,"")</f>
        <v>9</v>
      </c>
      <c r="H18" s="16" t="str">
        <f>IF($C18=ML,"X","")</f>
        <v/>
      </c>
      <c r="I18" s="16" t="str">
        <f>IF(H18="X",30*0.15,"")</f>
        <v/>
      </c>
      <c r="J18" s="16" t="str">
        <f>IF($C18=NL,"X","")</f>
        <v/>
      </c>
      <c r="K18" s="16" t="str">
        <f t="shared" si="5"/>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c r="E19" s="16" t="str">
        <f>IF(D19="X",100*0.15,"")</f>
        <v/>
      </c>
      <c r="F19" s="16" t="s">
        <v>77</v>
      </c>
      <c r="G19" s="16">
        <f>IF(F19="X",60*0.15,"")</f>
        <v>9</v>
      </c>
      <c r="H19" s="16" t="str">
        <f>IF($C19=ML,"X","")</f>
        <v/>
      </c>
      <c r="I19" s="16" t="str">
        <f>IF(H19="X",30*0.15,"")</f>
        <v/>
      </c>
      <c r="J19" s="16" t="str">
        <f>IF($C19=NL,"X","")</f>
        <v/>
      </c>
      <c r="K19" s="16" t="str">
        <f t="shared" si="5"/>
        <v/>
      </c>
    </row>
    <row r="20" spans="1:11" ht="15.75" customHeight="1" outlineLevel="1" x14ac:dyDescent="0.3">
      <c r="A20" s="67"/>
      <c r="B20" s="29" t="s">
        <v>66</v>
      </c>
      <c r="C20" s="33">
        <f>E20+G20+I20+K20</f>
        <v>36</v>
      </c>
      <c r="D20" s="19"/>
      <c r="E20" s="19">
        <f>SUM(E13:E19)</f>
        <v>0</v>
      </c>
      <c r="F20" s="19"/>
      <c r="G20" s="19">
        <f>SUM(G13:G19)</f>
        <v>27</v>
      </c>
      <c r="H20" s="19"/>
      <c r="I20" s="19">
        <f>SUM(I13:I19)</f>
        <v>9</v>
      </c>
      <c r="J20" s="19"/>
      <c r="K20" s="19">
        <f>SUM(K13:K19)</f>
        <v>0</v>
      </c>
    </row>
    <row r="21" spans="1:11" ht="15.75" customHeight="1" outlineLevel="1" x14ac:dyDescent="0.3">
      <c r="A21" s="54"/>
      <c r="B21" s="32" t="s">
        <v>67</v>
      </c>
      <c r="C21" s="20">
        <f>VLOOKUP(C20,ESCALA_IEP!A1:B152,2,FALSE)</f>
        <v>3.4</v>
      </c>
    </row>
    <row r="22" spans="1:11" ht="15.75" customHeight="1" x14ac:dyDescent="0.25"/>
    <row r="23" spans="1:11" ht="15.75" customHeight="1" x14ac:dyDescent="0.25"/>
    <row r="24" spans="1:11" ht="15.75" customHeight="1" x14ac:dyDescent="0.25">
      <c r="A24" s="66" t="s">
        <v>59</v>
      </c>
      <c r="B24" s="53" t="s">
        <v>68</v>
      </c>
      <c r="C24" s="55" t="str">
        <f>$B$4</f>
        <v>Benjamin Ricardo Diaz Gar</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c r="E28" s="16" t="str">
        <f>IF(D28="X",100*0.05,"")</f>
        <v/>
      </c>
      <c r="F28" s="16"/>
      <c r="G28" s="16" t="str">
        <f>IF(F28="X",60*0.05,"")</f>
        <v/>
      </c>
      <c r="H28" s="16" t="s">
        <v>77</v>
      </c>
      <c r="I28" s="16">
        <f>IF(H28="X",30*0.05,"")</f>
        <v>1.5</v>
      </c>
      <c r="J28" s="16" t="str">
        <f t="shared" ref="J28:J30" si="6">IF($C28=NL,"X","")</f>
        <v/>
      </c>
      <c r="K28" s="16" t="str">
        <f t="shared" ref="K28:K30" si="7">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c r="E29" s="16" t="str">
        <f>IF(D29="X",100*0.1,"")</f>
        <v/>
      </c>
      <c r="F29" s="16" t="s">
        <v>77</v>
      </c>
      <c r="G29" s="16">
        <f>IF(F29="X",60*0.1,"")</f>
        <v>6</v>
      </c>
      <c r="H29" s="16"/>
      <c r="I29" s="16" t="str">
        <f>IF(H29="X",30*0.1,"")</f>
        <v/>
      </c>
      <c r="J29" s="16" t="str">
        <f t="shared" si="6"/>
        <v/>
      </c>
      <c r="K29" s="16" t="str">
        <f t="shared" si="7"/>
        <v/>
      </c>
    </row>
    <row r="30" spans="1:11" ht="25.9" customHeight="1" x14ac:dyDescent="0.25">
      <c r="A30" s="67"/>
      <c r="B30" s="30" t="str">
        <f>RUBRICA!A13</f>
        <v>10. Colaboración y trabajo en equipo *</v>
      </c>
      <c r="C30" s="28" t="s">
        <v>63</v>
      </c>
      <c r="D30" s="16" t="s">
        <v>77</v>
      </c>
      <c r="E30" s="16">
        <f>IF(D30="X",100*0.1,"")</f>
        <v>10</v>
      </c>
      <c r="F30" s="16" t="str">
        <f t="shared" ref="F29:F30" si="8">IF($C30=L,"X","")</f>
        <v/>
      </c>
      <c r="G30" s="16" t="str">
        <f>IF(F30="X",60*0.1,"")</f>
        <v/>
      </c>
      <c r="H30" s="16"/>
      <c r="I30" s="16" t="str">
        <f>IF(H30="X",30*0.1,"")</f>
        <v/>
      </c>
      <c r="J30" s="16" t="str">
        <f t="shared" si="6"/>
        <v/>
      </c>
      <c r="K30" s="16" t="str">
        <f t="shared" si="7"/>
        <v/>
      </c>
    </row>
    <row r="31" spans="1:11" ht="15.75" customHeight="1" x14ac:dyDescent="0.3">
      <c r="A31" s="67"/>
      <c r="B31" s="21" t="s">
        <v>70</v>
      </c>
      <c r="C31" s="18">
        <f>E31+G31+I31+K31</f>
        <v>17.5</v>
      </c>
      <c r="D31" s="19"/>
      <c r="E31" s="19">
        <f>SUM(E28:E30)</f>
        <v>10</v>
      </c>
      <c r="F31" s="19"/>
      <c r="G31" s="19">
        <f>SUM(G28:G30)</f>
        <v>6</v>
      </c>
      <c r="H31" s="19"/>
      <c r="I31" s="19">
        <f>SUM(I28:I30)</f>
        <v>1.5</v>
      </c>
      <c r="J31" s="19"/>
      <c r="K31" s="19">
        <f>SUM(K29:K30)</f>
        <v>0</v>
      </c>
    </row>
    <row r="32" spans="1:11" ht="15.75" customHeight="1" x14ac:dyDescent="0.3">
      <c r="A32" s="54"/>
      <c r="B32" s="17" t="s">
        <v>67</v>
      </c>
      <c r="C32" s="20">
        <f>VLOOKUP(C31,ESCALA_TRAB_EQUIP!A1:B52,2,FALSE)</f>
        <v>4.8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f>B5</f>
        <v>0</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9">IF($C40=CL,"X","")</f>
        <v>X</v>
      </c>
      <c r="E40" s="16">
        <f>IF(D40="X",100*0.05,"")</f>
        <v>5</v>
      </c>
      <c r="F40" s="16" t="str">
        <f t="shared" ref="F40:F42" si="10">IF($C40=L,"X","")</f>
        <v/>
      </c>
      <c r="G40" s="16" t="str">
        <f>IF(F40="X",60*0.05,"")</f>
        <v/>
      </c>
      <c r="H40" s="16" t="str">
        <f t="shared" ref="H40:H42" si="11">IF($C40=ML,"X","")</f>
        <v/>
      </c>
      <c r="I40" s="16" t="str">
        <f>IF(H40="X",30*0.05,"")</f>
        <v/>
      </c>
      <c r="J40" s="16" t="str">
        <f t="shared" ref="J40:J42" si="12">IF($C40=NL,"X","")</f>
        <v/>
      </c>
      <c r="K40" s="16" t="str">
        <f t="shared" ref="K40:K42" si="13">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t="str">
        <f t="shared" si="9"/>
        <v>X</v>
      </c>
      <c r="E41" s="16">
        <f>IF(D41="X",100*0.1,"")</f>
        <v>10</v>
      </c>
      <c r="F41" s="16" t="str">
        <f t="shared" si="10"/>
        <v/>
      </c>
      <c r="G41" s="16" t="str">
        <f>IF(F41="X",60*0.1,"")</f>
        <v/>
      </c>
      <c r="H41" s="16" t="str">
        <f t="shared" si="11"/>
        <v/>
      </c>
      <c r="I41" s="16" t="str">
        <f>IF(H41="X",30*0.1,"")</f>
        <v/>
      </c>
      <c r="J41" s="16" t="str">
        <f t="shared" si="12"/>
        <v/>
      </c>
      <c r="K41" s="16" t="str">
        <f t="shared" si="13"/>
        <v/>
      </c>
    </row>
    <row r="42" spans="1:11" x14ac:dyDescent="0.25">
      <c r="A42" s="67"/>
      <c r="B42" s="30" t="str">
        <f>RUBRICA!A13</f>
        <v>10. Colaboración y trabajo en equipo *</v>
      </c>
      <c r="C42" s="28" t="s">
        <v>63</v>
      </c>
      <c r="D42" s="16" t="str">
        <f t="shared" si="9"/>
        <v>X</v>
      </c>
      <c r="E42" s="16">
        <f>IF(D42="X",100*0.1,"")</f>
        <v>10</v>
      </c>
      <c r="F42" s="16" t="str">
        <f t="shared" si="10"/>
        <v/>
      </c>
      <c r="G42" s="16" t="str">
        <f>IF(F42="X",60*0.1,"")</f>
        <v/>
      </c>
      <c r="H42" s="16" t="str">
        <f t="shared" si="11"/>
        <v/>
      </c>
      <c r="I42" s="16" t="str">
        <f>IF(H42="X",30*0.1,"")</f>
        <v/>
      </c>
      <c r="J42" s="16" t="str">
        <f t="shared" si="12"/>
        <v/>
      </c>
      <c r="K42" s="16" t="str">
        <f t="shared" si="13"/>
        <v/>
      </c>
    </row>
    <row r="43" spans="1:11" ht="15.75" customHeight="1" x14ac:dyDescent="0.3">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6" t="s">
        <v>59</v>
      </c>
      <c r="B47" s="53" t="s">
        <v>68</v>
      </c>
      <c r="C47" s="55">
        <f>B6</f>
        <v>0</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4">IF($C51=CL,"X","")</f>
        <v>X</v>
      </c>
      <c r="E51" s="16">
        <f>IF(D51="X",100*0.05,"")</f>
        <v>5</v>
      </c>
      <c r="F51" s="16" t="str">
        <f t="shared" ref="F51:F53" si="15">IF($C51=L,"X","")</f>
        <v/>
      </c>
      <c r="G51" s="16" t="str">
        <f>IF(F51="X",60*0.05,"")</f>
        <v/>
      </c>
      <c r="H51" s="16" t="str">
        <f t="shared" ref="H51:H53" si="16">IF($C51=ML,"X","")</f>
        <v/>
      </c>
      <c r="I51" s="16" t="str">
        <f>IF(H51="X",30*0.05,"")</f>
        <v/>
      </c>
      <c r="J51" s="16" t="str">
        <f t="shared" ref="J51:J53" si="17">IF($C51=NL,"X","")</f>
        <v/>
      </c>
      <c r="K51" s="16" t="str">
        <f t="shared" ref="K51:K53" si="18">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t="str">
        <f t="shared" si="14"/>
        <v>X</v>
      </c>
      <c r="E52" s="16">
        <f>IF(D52="X",100*0.1,"")</f>
        <v>10</v>
      </c>
      <c r="F52" s="16" t="str">
        <f t="shared" si="15"/>
        <v/>
      </c>
      <c r="G52" s="16" t="str">
        <f>IF(F52="X",60*0.1,"")</f>
        <v/>
      </c>
      <c r="H52" s="16" t="str">
        <f t="shared" si="16"/>
        <v/>
      </c>
      <c r="I52" s="16" t="str">
        <f>IF(H52="X",30*0.1,"")</f>
        <v/>
      </c>
      <c r="J52" s="16" t="str">
        <f t="shared" si="17"/>
        <v/>
      </c>
      <c r="K52" s="16" t="str">
        <f t="shared" si="18"/>
        <v/>
      </c>
    </row>
    <row r="53" spans="1:11" x14ac:dyDescent="0.25">
      <c r="A53" s="67"/>
      <c r="B53" s="30" t="str">
        <f>RUBRICA!A13</f>
        <v>10. Colaboración y trabajo en equipo *</v>
      </c>
      <c r="C53" s="28" t="s">
        <v>63</v>
      </c>
      <c r="D53" s="16" t="str">
        <f t="shared" si="14"/>
        <v>X</v>
      </c>
      <c r="E53" s="16">
        <f>IF(D53="X",100*0.1,"")</f>
        <v>10</v>
      </c>
      <c r="F53" s="16" t="str">
        <f t="shared" si="15"/>
        <v/>
      </c>
      <c r="G53" s="16" t="str">
        <f>IF(F53="X",60*0.1,"")</f>
        <v/>
      </c>
      <c r="H53" s="16" t="str">
        <f t="shared" si="16"/>
        <v/>
      </c>
      <c r="I53" s="16" t="str">
        <f>IF(H53="X",30*0.1,"")</f>
        <v/>
      </c>
      <c r="J53" s="16" t="str">
        <f t="shared" si="17"/>
        <v/>
      </c>
      <c r="K53" s="16" t="str">
        <f t="shared" si="18"/>
        <v/>
      </c>
    </row>
    <row r="54" spans="1:11" ht="15.75" customHeight="1" x14ac:dyDescent="0.3">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2026-02-05T14:54:17Z</dcterms:modified>
  <cp:category/>
  <cp:contentStatus/>
</cp:coreProperties>
</file>